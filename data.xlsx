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C4D47674-F43F-42A1-AD1C-13895432A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1" l="1"/>
  <c r="X12" i="1"/>
  <c r="X13" i="1"/>
  <c r="X14" i="1"/>
  <c r="X15" i="1"/>
  <c r="X16" i="1"/>
  <c r="Z14" i="1"/>
  <c r="Z15" i="1"/>
  <c r="Z16" i="1"/>
  <c r="Y3" i="1"/>
  <c r="Y4" i="1"/>
  <c r="Y5" i="1"/>
  <c r="Y6" i="1"/>
  <c r="Y7" i="1"/>
  <c r="Y8" i="1"/>
  <c r="Y9" i="1"/>
  <c r="AC9" i="1" s="1"/>
  <c r="Y10" i="1"/>
  <c r="Y11" i="1"/>
  <c r="Y12" i="1"/>
  <c r="Y13" i="1"/>
  <c r="AC13" i="1" s="1"/>
  <c r="Y14" i="1"/>
  <c r="AC14" i="1" s="1"/>
  <c r="Y15" i="1"/>
  <c r="Y16" i="1"/>
  <c r="AC3" i="1"/>
  <c r="AC4" i="1"/>
  <c r="AC5" i="1"/>
  <c r="AC6" i="1"/>
  <c r="AC7" i="1"/>
  <c r="AC8" i="1"/>
  <c r="AC10" i="1"/>
  <c r="AC11" i="1"/>
  <c r="AC12" i="1"/>
  <c r="AC15" i="1"/>
  <c r="AC16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M14" i="1"/>
  <c r="M15" i="1"/>
  <c r="M16" i="1"/>
  <c r="M13" i="1"/>
  <c r="Z13" i="1"/>
  <c r="AC2" i="1"/>
  <c r="Z3" i="1"/>
  <c r="Z4" i="1"/>
  <c r="Z5" i="1"/>
  <c r="Z6" i="1"/>
  <c r="Z7" i="1"/>
  <c r="Z8" i="1"/>
  <c r="Z9" i="1"/>
  <c r="Z10" i="1"/>
  <c r="Z11" i="1"/>
  <c r="Z12" i="1"/>
  <c r="Z2" i="1"/>
  <c r="Y2" i="1"/>
  <c r="AD2" i="1"/>
  <c r="X3" i="1"/>
  <c r="X4" i="1"/>
  <c r="X5" i="1"/>
  <c r="X6" i="1"/>
  <c r="X7" i="1"/>
  <c r="X8" i="1"/>
  <c r="X9" i="1"/>
  <c r="X10" i="1"/>
  <c r="X2" i="1"/>
</calcChain>
</file>

<file path=xl/sharedStrings.xml><?xml version="1.0" encoding="utf-8"?>
<sst xmlns="http://schemas.openxmlformats.org/spreadsheetml/2006/main" count="340" uniqueCount="167">
  <si>
    <t>SL NO</t>
  </si>
  <si>
    <t>NAME</t>
  </si>
  <si>
    <t>FATHERS_NAME</t>
  </si>
  <si>
    <t>MOTHERS_NAME</t>
  </si>
  <si>
    <t>BMET_ID</t>
  </si>
  <si>
    <t>CLEARANCE_ID</t>
  </si>
  <si>
    <t>PASSPORT</t>
  </si>
  <si>
    <t>ISSUE_DATE</t>
  </si>
  <si>
    <t>DATE</t>
  </si>
  <si>
    <t>TIME</t>
  </si>
  <si>
    <t>MAMUN HOSEN</t>
  </si>
  <si>
    <t>A07504029</t>
  </si>
  <si>
    <t>RAYHAN KHAN</t>
  </si>
  <si>
    <t>A07322494</t>
  </si>
  <si>
    <t>MD NAJIM UDDIN</t>
  </si>
  <si>
    <t>A03131255</t>
  </si>
  <si>
    <t>RAKIBUL HASAN</t>
  </si>
  <si>
    <t>A16817519</t>
  </si>
  <si>
    <t>SUMON AHMED</t>
  </si>
  <si>
    <t>A03349685</t>
  </si>
  <si>
    <t>MD SABUJ MIA</t>
  </si>
  <si>
    <t>A08140828</t>
  </si>
  <si>
    <t>RASHEL AHMED</t>
  </si>
  <si>
    <t>A20941515</t>
  </si>
  <si>
    <t>MD SAKIBUL HASAN MILTON</t>
  </si>
  <si>
    <t>A12054906</t>
  </si>
  <si>
    <t>WALID MAHMUD</t>
  </si>
  <si>
    <t>A09369386</t>
  </si>
  <si>
    <t>MD SAIFUL ISLAM</t>
  </si>
  <si>
    <t>A09804378</t>
  </si>
  <si>
    <t>MD RAKIB HASSAN</t>
  </si>
  <si>
    <t>A20555997</t>
  </si>
  <si>
    <t>MD MOKTAR HOSSAIN</t>
  </si>
  <si>
    <t>MST PARVIN AKTER</t>
  </si>
  <si>
    <t>JAMAL KHAN</t>
  </si>
  <si>
    <t>JIASMIN</t>
  </si>
  <si>
    <t>MD MOYDAN ALI</t>
  </si>
  <si>
    <t>MST NAZMA BEGUM</t>
  </si>
  <si>
    <t>BACCHU MIAH</t>
  </si>
  <si>
    <t>MST RENU BEGUM</t>
  </si>
  <si>
    <t>TOFAZZAL</t>
  </si>
  <si>
    <t>TASLIMA</t>
  </si>
  <si>
    <t>MD LAL MIA</t>
  </si>
  <si>
    <t>SAYERA KHATUN</t>
  </si>
  <si>
    <t>REZAUL KARIM</t>
  </si>
  <si>
    <t>KHOSHIDA BEGUM</t>
  </si>
  <si>
    <t>MD MUNSUR ALI</t>
  </si>
  <si>
    <t>MST RUMA KHATUN</t>
  </si>
  <si>
    <t>MD ABU TAHER</t>
  </si>
  <si>
    <t>MST SAIFUNNAHAR REKHA</t>
  </si>
  <si>
    <t>MD SHAFIQUE ULLAH</t>
  </si>
  <si>
    <t>RAHANA BEGUM</t>
  </si>
  <si>
    <t>MD ALEK UDDIN</t>
  </si>
  <si>
    <t>MAMATAZ BEGUM</t>
  </si>
  <si>
    <t>Birth Date</t>
  </si>
  <si>
    <t>Blood Group</t>
  </si>
  <si>
    <t>Passport Issue Date</t>
  </si>
  <si>
    <t>Passport Expire Date</t>
  </si>
  <si>
    <t>Visa No</t>
  </si>
  <si>
    <t>Visa Issue Date</t>
  </si>
  <si>
    <t>Visa Expiry Date</t>
  </si>
  <si>
    <t>Referral No</t>
  </si>
  <si>
    <t>Employer</t>
  </si>
  <si>
    <t>Country</t>
  </si>
  <si>
    <t>Name</t>
  </si>
  <si>
    <t>License No</t>
  </si>
  <si>
    <t>Phone</t>
  </si>
  <si>
    <t>BMET No</t>
  </si>
  <si>
    <t>Gender</t>
  </si>
  <si>
    <t>NID</t>
  </si>
  <si>
    <t>Passport No 1</t>
  </si>
  <si>
    <t>House/Vill/Road</t>
  </si>
  <si>
    <t>Post Office</t>
  </si>
  <si>
    <t>Police Station</t>
  </si>
  <si>
    <t>Upazila</t>
  </si>
  <si>
    <t>District</t>
  </si>
  <si>
    <t>Division</t>
  </si>
  <si>
    <t>Relation</t>
  </si>
  <si>
    <t>Mobile</t>
  </si>
  <si>
    <t>Address</t>
  </si>
  <si>
    <t>A+</t>
  </si>
  <si>
    <t>B+</t>
  </si>
  <si>
    <t>O+</t>
  </si>
  <si>
    <t>AB+</t>
  </si>
  <si>
    <t>Serbia</t>
  </si>
  <si>
    <t>A0935933</t>
  </si>
  <si>
    <t>TANZANITE OVERSEAS</t>
  </si>
  <si>
    <t>RL2124</t>
  </si>
  <si>
    <t>ABDUL KHALEK</t>
  </si>
  <si>
    <t>BROTHER</t>
  </si>
  <si>
    <t>SAGLAKANDI, SIRAJNAGOR, KERANIGANJ MODEL, KALATIYA - 1313, DHAKA</t>
  </si>
  <si>
    <t>Male</t>
  </si>
  <si>
    <t>DHAKA</t>
  </si>
  <si>
    <t>SHARIATPUR</t>
  </si>
  <si>
    <t>JAMALPUR</t>
  </si>
  <si>
    <t>HABIGANJ</t>
  </si>
  <si>
    <t>CHUADANGA</t>
  </si>
  <si>
    <t>CHATTOGRAM</t>
  </si>
  <si>
    <t>MYMENSINGH</t>
  </si>
  <si>
    <t>NARAYANGANJ</t>
  </si>
  <si>
    <t>SYLHET</t>
  </si>
  <si>
    <t>KHULNA</t>
  </si>
  <si>
    <t>ABDUL MALEK</t>
  </si>
  <si>
    <t>RAHIM ALI</t>
  </si>
  <si>
    <t>CINARCHAR, ISLAMPUR, ISLAMPUR - 2020, JAMALPUR</t>
  </si>
  <si>
    <t>SONABIBI ROAD, BANDAR, BANDAR - 1410, NARAYANGANJ</t>
  </si>
  <si>
    <t>NEW ALGIRCHAR, WARD NO-06, KERANIGANJ MODEL, ETAVARA - 1313, DHAKA</t>
  </si>
  <si>
    <t>SHIBPUR, WORD NO-09, LAKHAI, MADNA - 3300, HABIGANJ</t>
  </si>
  <si>
    <t>ALGIRCHAR, KERANIGANJ MODEL, ETAVARA - 1313, DHAKA</t>
  </si>
  <si>
    <t>HATBOALIA, ALAMDANGA, HAT BOYALIA - 7210, CHUADANGA</t>
  </si>
  <si>
    <t>KARIM ALIR BARI</t>
  </si>
  <si>
    <t>SUJONPUR</t>
  </si>
  <si>
    <t>KALIARGHAT</t>
  </si>
  <si>
    <t>RAHIMGANJ</t>
  </si>
  <si>
    <t>UTTARA WEST</t>
  </si>
  <si>
    <t>AGROASIST DOO NOVI SAD</t>
  </si>
  <si>
    <t>INTERSTAFF SERVICE DOO SOMBOR</t>
  </si>
  <si>
    <t>A0935992</t>
  </si>
  <si>
    <t>A0935945</t>
  </si>
  <si>
    <t>A0935995</t>
  </si>
  <si>
    <t>A0935916</t>
  </si>
  <si>
    <t>A0935974</t>
  </si>
  <si>
    <t>A0938116</t>
  </si>
  <si>
    <t>A0938121</t>
  </si>
  <si>
    <t>A0938118</t>
  </si>
  <si>
    <t>A0938144</t>
  </si>
  <si>
    <t>A0938133</t>
  </si>
  <si>
    <t>A15392052</t>
  </si>
  <si>
    <t>MD IBRAHIM MOLLAH</t>
  </si>
  <si>
    <t>A07523685</t>
  </si>
  <si>
    <t>MD NAIM ISLAM</t>
  </si>
  <si>
    <t>A16812261</t>
  </si>
  <si>
    <t>SHAKIL MAHMUD</t>
  </si>
  <si>
    <t>SOHEL AHMED</t>
  </si>
  <si>
    <t>A05210946</t>
  </si>
  <si>
    <t>SOFOR MOLLAH</t>
  </si>
  <si>
    <t>KALPONA BEGUM</t>
  </si>
  <si>
    <t>MD NAZRUL ISLAM</t>
  </si>
  <si>
    <t>MARIYAM AKTER</t>
  </si>
  <si>
    <t>TAJEL MATUBBER</t>
  </si>
  <si>
    <t>MST HASINA BEGUM</t>
  </si>
  <si>
    <t>ABDUS SAMAD</t>
  </si>
  <si>
    <t>JAHANARA BEGUM</t>
  </si>
  <si>
    <t>BAYATI KANDI, HAZRATPUR, KERANIGANJ MODEL, ETAVARA - 1313, DHAKA</t>
  </si>
  <si>
    <t>NAYAKANDA, NAWABGONJ, MASHAIL - 1320, DHAKA</t>
  </si>
  <si>
    <t>DOKHKHIN CHAR KAMAR KANDI, WARD NO- 08,SHIBCHAR, BOHERATOLA - 7930, MADARIPUR</t>
  </si>
  <si>
    <t>BA-68, SOUTH BADDA, BADDA, GULSHAN - 1212, DHAKA</t>
  </si>
  <si>
    <t>KALI MULLAH</t>
  </si>
  <si>
    <t>LIYAKAT ALI</t>
  </si>
  <si>
    <t>SELIM KHAN</t>
  </si>
  <si>
    <t>SOHEL MIA</t>
  </si>
  <si>
    <t>GULSHAN</t>
  </si>
  <si>
    <t>NAWABGONJ</t>
  </si>
  <si>
    <t>KERANIGANJ MODEL</t>
  </si>
  <si>
    <t>ETAVARA</t>
  </si>
  <si>
    <t>MASHAIL</t>
  </si>
  <si>
    <t>BOHERATOLA</t>
  </si>
  <si>
    <t>MADARIPUR</t>
  </si>
  <si>
    <t>SHIBCHAR</t>
  </si>
  <si>
    <t>BAYATI KANDI</t>
  </si>
  <si>
    <t>NAYAKANDA</t>
  </si>
  <si>
    <t>DOKHKHIN CHAR KAMAR KANDI</t>
  </si>
  <si>
    <t>BA-68, SOUTH BADDA</t>
  </si>
  <si>
    <t>A0935887</t>
  </si>
  <si>
    <t>A0935922</t>
  </si>
  <si>
    <t>A0935890</t>
  </si>
  <si>
    <t>A0935899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</si>
</sst>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"/>
    <numFmt numFmtId="165" formatCode="yyyy\-mm\-d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2"/>
      <color rgb="FF000000"/>
      <name val="Roboto"/>
    </font>
    <font>
      <sz val="12"/>
      <color rgb="FFFFFFFF"/>
      <name val="Roboto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76A5A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33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19" fillId="34" borderId="14" xfId="0" applyFont="1" applyFill="1" applyBorder="1" applyAlignment="1">
      <alignment vertical="top"/>
    </xf>
    <xf numFmtId="164" fontId="0" fillId="33" borderId="10" xfId="0" applyNumberFormat="1" applyFill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5" fontId="0" fillId="33" borderId="10" xfId="0" applyNumberFormat="1" applyFill="1" applyBorder="1" applyAlignment="1">
      <alignment vertical="center"/>
    </xf>
    <xf numFmtId="165" fontId="0" fillId="0" borderId="10" xfId="0" applyNumberFormat="1" applyBorder="1" applyAlignment="1">
      <alignment vertical="center"/>
    </xf>
    <xf numFmtId="0" fontId="18" fillId="35" borderId="13" xfId="0" applyFont="1" applyFill="1" applyBorder="1" applyAlignment="1">
      <alignment vertical="top"/>
    </xf>
    <xf numFmtId="0" fontId="18" fillId="36" borderId="15" xfId="0" applyFont="1" applyFill="1" applyBorder="1" applyAlignment="1">
      <alignment vertical="top"/>
    </xf>
    <xf numFmtId="0" fontId="19" fillId="34" borderId="16" xfId="0" applyFont="1" applyFill="1" applyBorder="1" applyAlignment="1">
      <alignment vertical="top"/>
    </xf>
    <xf numFmtId="0" fontId="0" fillId="33" borderId="19" xfId="0" applyFill="1" applyBorder="1" applyAlignment="1">
      <alignment vertical="center"/>
    </xf>
    <xf numFmtId="0" fontId="18" fillId="35" borderId="11" xfId="0" applyFont="1" applyFill="1" applyBorder="1"/>
    <xf numFmtId="0" fontId="18" fillId="35" borderId="13" xfId="0" applyFont="1" applyFill="1" applyBorder="1"/>
    <xf numFmtId="0" fontId="18" fillId="36" borderId="20" xfId="0" applyFont="1" applyFill="1" applyBorder="1"/>
    <xf numFmtId="0" fontId="18" fillId="36" borderId="16" xfId="0" applyFont="1" applyFill="1" applyBorder="1"/>
    <xf numFmtId="0" fontId="18" fillId="36" borderId="14" xfId="0" applyFont="1" applyFill="1" applyBorder="1"/>
    <xf numFmtId="0" fontId="18" fillId="36" borderId="13" xfId="0" applyFont="1" applyFill="1" applyBorder="1"/>
    <xf numFmtId="0" fontId="18" fillId="35" borderId="21" xfId="0" applyFont="1" applyFill="1" applyBorder="1"/>
    <xf numFmtId="0" fontId="19" fillId="34" borderId="12" xfId="0" applyFont="1" applyFill="1" applyBorder="1"/>
    <xf numFmtId="0" fontId="18" fillId="35" borderId="12" xfId="0" applyFont="1" applyFill="1" applyBorder="1"/>
    <xf numFmtId="0" fontId="0" fillId="0" borderId="10" xfId="0" applyBorder="1"/>
    <xf numFmtId="165" fontId="0" fillId="0" borderId="0" xfId="0" applyNumberFormat="1"/>
    <xf numFmtId="0" fontId="18" fillId="0" borderId="0" xfId="0" applyFont="1"/>
    <xf numFmtId="0" fontId="18" fillId="35" borderId="14" xfId="0" applyFont="1" applyFill="1" applyBorder="1"/>
    <xf numFmtId="0" fontId="19" fillId="34" borderId="14" xfId="0" applyFont="1" applyFill="1" applyBorder="1"/>
    <xf numFmtId="0" fontId="18" fillId="36" borderId="15" xfId="0" applyFont="1" applyFill="1" applyBorder="1"/>
    <xf numFmtId="0" fontId="18" fillId="36" borderId="17" xfId="0" applyFont="1" applyFill="1" applyBorder="1"/>
    <xf numFmtId="0" fontId="18" fillId="36" borderId="18" xfId="0" applyFont="1" applyFill="1" applyBorder="1"/>
    <xf numFmtId="164" fontId="0" fillId="0" borderId="0" xfId="0" applyNumberFormat="1"/>
    <xf numFmtId="1" fontId="0" fillId="0" borderId="0" xfId="0" quotePrefix="1" applyNumberFormat="1"/>
    <xf numFmtId="0" fontId="18" fillId="37" borderId="11" xfId="0" applyFont="1" applyFill="1" applyBorder="1" applyAlignment="1">
      <alignment vertical="center" wrapText="1"/>
    </xf>
    <xf numFmtId="0" fontId="19" fillId="34" borderId="12" xfId="0" applyFont="1" applyFill="1" applyBorder="1" applyAlignment="1">
      <alignment vertical="center" wrapText="1"/>
    </xf>
    <xf numFmtId="0" fontId="18" fillId="37" borderId="13" xfId="0" applyFont="1" applyFill="1" applyBorder="1" applyAlignment="1">
      <alignment vertical="center" wrapText="1"/>
    </xf>
    <xf numFmtId="0" fontId="19" fillId="34" borderId="14" xfId="0" applyFont="1" applyFill="1" applyBorder="1" applyAlignment="1">
      <alignment vertical="center" wrapText="1"/>
    </xf>
    <xf numFmtId="0" fontId="18" fillId="37" borderId="12" xfId="0" applyFont="1" applyFill="1" applyBorder="1" applyAlignment="1">
      <alignment vertical="center" wrapText="1"/>
    </xf>
    <xf numFmtId="0" fontId="18" fillId="37" borderId="14" xfId="0" applyFont="1" applyFill="1" applyBorder="1" applyAlignment="1">
      <alignment vertical="center" wrapText="1"/>
    </xf>
    <xf numFmtId="0" fontId="18" fillId="37" borderId="11" xfId="0" applyFont="1" applyFill="1" applyBorder="1" applyAlignment="1">
      <alignment vertical="center"/>
    </xf>
    <xf numFmtId="0" fontId="18" fillId="37" borderId="13" xfId="0" applyFont="1" applyFill="1" applyBorder="1" applyAlignment="1">
      <alignment vertical="center"/>
    </xf>
    <xf numFmtId="0" fontId="18" fillId="36" borderId="22" xfId="0" applyFont="1" applyFill="1" applyBorder="1"/>
    <xf numFmtId="0" fontId="18" fillId="36" borderId="23" xfId="0" applyFont="1" applyFill="1" applyBorder="1"/>
    <xf numFmtId="0" fontId="18" fillId="35" borderId="24" xfId="0" applyFont="1" applyFill="1" applyBorder="1"/>
    <xf numFmtId="1" fontId="0" fillId="33" borderId="19" xfId="0" applyNumberFormat="1" applyFill="1" applyBorder="1" applyAlignment="1">
      <alignment vertical="center"/>
    </xf>
    <xf numFmtId="1" fontId="18" fillId="0" borderId="10" xfId="0" applyNumberFormat="1" applyFont="1" applyBorder="1" applyAlignment="1">
      <alignment horizontal="left" vertical="top"/>
    </xf>
    <xf numFmtId="1" fontId="0" fillId="0" borderId="0" xfId="0" applyNumberForma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00000000-0005-0000-0000-000023000000}"/>
    <cellStyle name="Normal" xfId="0" builtinId="0"/>
    <cellStyle name="Note" xfId="13" builtinId="10" customBuiltin="1"/>
    <cellStyle name="Output" xfId="8" builtinId="21" customBuiltin="1"/>
    <cellStyle name="Title 2" xfId="34" xr:uid="{00000000-0005-0000-0000-000027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"/>
  <sheetViews>
    <sheetView tabSelected="1" topLeftCell="P1" zoomScale="85" zoomScaleNormal="85" workbookViewId="0">
      <selection activeCell="AB1" sqref="AB1:AB1048576"/>
    </sheetView>
  </sheetViews>
  <sheetFormatPr defaultRowHeight="15" x14ac:dyDescent="0.25"/>
  <cols>
    <col min="1" max="1" width="7.42578125" bestFit="1" customWidth="1"/>
    <col min="2" max="2" width="32.5703125" bestFit="1" customWidth="1"/>
    <col min="3" max="3" width="13" bestFit="1" customWidth="1"/>
    <col min="4" max="4" width="13.85546875" bestFit="1" customWidth="1"/>
    <col min="5" max="5" width="25.7109375" bestFit="1" customWidth="1"/>
    <col min="6" max="6" width="30.5703125" bestFit="1" customWidth="1"/>
    <col min="7" max="7" width="14.85546875" bestFit="1" customWidth="1"/>
    <col min="8" max="8" width="16.85546875" bestFit="1" customWidth="1"/>
    <col min="9" max="9" width="13.140625" style="22" bestFit="1" customWidth="1"/>
    <col min="10" max="10" width="9.140625" style="29" bestFit="1" customWidth="1"/>
    <col min="11" max="12" width="13.140625" bestFit="1" customWidth="1"/>
    <col min="13" max="13" width="20.140625" bestFit="1" customWidth="1"/>
    <col min="14" max="14" width="21" bestFit="1" customWidth="1"/>
    <col min="15" max="15" width="11.42578125" bestFit="1" customWidth="1"/>
    <col min="16" max="16" width="15.7109375" bestFit="1" customWidth="1"/>
    <col min="17" max="17" width="16.42578125" bestFit="1" customWidth="1"/>
    <col min="18" max="18" width="11.7109375" bestFit="1" customWidth="1"/>
    <col min="19" max="19" width="38.28515625" bestFit="1" customWidth="1"/>
    <col min="20" max="20" width="8.7109375" bestFit="1" customWidth="1"/>
    <col min="21" max="21" width="24.42578125" bestFit="1" customWidth="1"/>
    <col min="22" max="22" width="12" bestFit="1" customWidth="1"/>
    <col min="23" max="23" width="16.7109375" bestFit="1" customWidth="1"/>
    <col min="24" max="24" width="14.85546875" bestFit="1" customWidth="1"/>
    <col min="25" max="25" width="29.7109375" bestFit="1" customWidth="1"/>
    <col min="26" max="26" width="13.140625" customWidth="1"/>
    <col min="27" max="27" width="8.5703125" bestFit="1" customWidth="1"/>
    <col min="28" max="28" width="18.28515625" style="44" bestFit="1" customWidth="1"/>
    <col min="29" max="29" width="29.7109375" bestFit="1" customWidth="1"/>
    <col min="30" max="30" width="14" bestFit="1" customWidth="1"/>
    <col min="31" max="31" width="29.7109375" bestFit="1" customWidth="1"/>
    <col min="32" max="32" width="17.85546875" bestFit="1" customWidth="1"/>
    <col min="33" max="33" width="23.5703125" bestFit="1" customWidth="1"/>
    <col min="34" max="35" width="17.85546875" bestFit="1" customWidth="1"/>
    <col min="36" max="37" width="17.140625" bestFit="1" customWidth="1"/>
    <col min="38" max="38" width="11.140625" bestFit="1" customWidth="1"/>
    <col min="39" max="39" width="14.140625" bestFit="1" customWidth="1"/>
    <col min="40" max="40" width="99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6" t="s">
        <v>8</v>
      </c>
      <c r="J1" s="4" t="s">
        <v>9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1" t="s">
        <v>60</v>
      </c>
      <c r="R1" s="11" t="s">
        <v>61</v>
      </c>
      <c r="S1" s="11" t="s">
        <v>62</v>
      </c>
      <c r="T1" s="11" t="s">
        <v>63</v>
      </c>
      <c r="U1" s="11" t="s">
        <v>64</v>
      </c>
      <c r="V1" s="11" t="s">
        <v>65</v>
      </c>
      <c r="W1" s="11" t="s">
        <v>66</v>
      </c>
      <c r="X1" s="11" t="s">
        <v>67</v>
      </c>
      <c r="Y1" s="11" t="s">
        <v>64</v>
      </c>
      <c r="Z1" s="11" t="s">
        <v>54</v>
      </c>
      <c r="AA1" s="11" t="s">
        <v>68</v>
      </c>
      <c r="AB1" s="42" t="s">
        <v>69</v>
      </c>
      <c r="AC1" s="11" t="s">
        <v>64</v>
      </c>
      <c r="AD1" s="11" t="s">
        <v>70</v>
      </c>
      <c r="AE1" s="11" t="s">
        <v>71</v>
      </c>
      <c r="AF1" s="11" t="s">
        <v>72</v>
      </c>
      <c r="AG1" s="11" t="s">
        <v>73</v>
      </c>
      <c r="AH1" s="11" t="s">
        <v>74</v>
      </c>
      <c r="AI1" s="11" t="s">
        <v>75</v>
      </c>
      <c r="AJ1" s="11" t="s">
        <v>76</v>
      </c>
      <c r="AK1" s="11" t="s">
        <v>64</v>
      </c>
      <c r="AL1" s="11" t="s">
        <v>77</v>
      </c>
      <c r="AM1" s="11" t="s">
        <v>78</v>
      </c>
      <c r="AN1" s="11" t="s">
        <v>79</v>
      </c>
    </row>
    <row r="2" spans="1:40" ht="16.5" thickBot="1" x14ac:dyDescent="0.3">
      <c r="A2" s="2">
        <v>1</v>
      </c>
      <c r="B2" s="12" t="s">
        <v>10</v>
      </c>
      <c r="C2" s="19" t="s">
        <v>11</v>
      </c>
      <c r="D2" s="7">
        <v>45062</v>
      </c>
      <c r="E2" s="12" t="s">
        <v>32</v>
      </c>
      <c r="F2" s="20" t="s">
        <v>33</v>
      </c>
      <c r="G2" s="21">
        <v>20260037867</v>
      </c>
      <c r="H2" s="2">
        <v>6010533</v>
      </c>
      <c r="I2" s="7">
        <v>46268</v>
      </c>
      <c r="J2" s="5">
        <v>0.21528935185185186</v>
      </c>
      <c r="K2" s="7">
        <v>38224</v>
      </c>
      <c r="L2" t="s">
        <v>80</v>
      </c>
      <c r="M2" s="7">
        <v>45062</v>
      </c>
      <c r="N2" s="7">
        <v>48714</v>
      </c>
      <c r="O2" t="s">
        <v>85</v>
      </c>
      <c r="P2" s="7">
        <v>46224</v>
      </c>
      <c r="Q2" s="7">
        <v>46405</v>
      </c>
      <c r="S2" t="s">
        <v>116</v>
      </c>
      <c r="T2" t="s">
        <v>84</v>
      </c>
      <c r="U2" t="s">
        <v>86</v>
      </c>
      <c r="V2" t="s">
        <v>87</v>
      </c>
      <c r="W2" s="30">
        <v>8801959216007</v>
      </c>
      <c r="X2">
        <f>G2</f>
        <v>20260037867</v>
      </c>
      <c r="Y2" t="str">
        <f>B2</f>
        <v>MAMUN HOSEN</v>
      </c>
      <c r="Z2" s="22">
        <f>K2</f>
        <v>38224</v>
      </c>
      <c r="AA2" t="s">
        <v>91</v>
      </c>
      <c r="AB2" s="43">
        <v>3775176872</v>
      </c>
      <c r="AC2" t="str">
        <f>Y2</f>
        <v>MAMUN HOSEN</v>
      </c>
      <c r="AD2" t="str">
        <f>C2</f>
        <v>A07504029</v>
      </c>
      <c r="AE2" t="s">
        <v>110</v>
      </c>
      <c r="AF2" t="s">
        <v>110</v>
      </c>
      <c r="AG2" s="12" t="s">
        <v>114</v>
      </c>
      <c r="AH2" s="12" t="s">
        <v>92</v>
      </c>
      <c r="AI2" s="12" t="s">
        <v>92</v>
      </c>
      <c r="AJ2" s="12" t="s">
        <v>92</v>
      </c>
      <c r="AK2" t="s">
        <v>88</v>
      </c>
      <c r="AL2" t="s">
        <v>89</v>
      </c>
      <c r="AM2" s="30">
        <v>8801959215972</v>
      </c>
      <c r="AN2" s="23" t="s">
        <v>90</v>
      </c>
    </row>
    <row r="3" spans="1:40" ht="16.5" thickBot="1" x14ac:dyDescent="0.3">
      <c r="A3">
        <v>2</v>
      </c>
      <c r="B3" s="8" t="s">
        <v>12</v>
      </c>
      <c r="C3" s="3" t="s">
        <v>13</v>
      </c>
      <c r="D3" s="7">
        <v>45008</v>
      </c>
      <c r="E3" s="13" t="s">
        <v>34</v>
      </c>
      <c r="F3" s="24" t="s">
        <v>35</v>
      </c>
      <c r="G3" s="21">
        <v>20260037868</v>
      </c>
      <c r="H3" s="2">
        <v>6010536</v>
      </c>
      <c r="I3" s="7">
        <v>46268</v>
      </c>
      <c r="J3" s="5">
        <v>0.25695601851851901</v>
      </c>
      <c r="K3" s="7">
        <v>37188</v>
      </c>
      <c r="L3" t="s">
        <v>81</v>
      </c>
      <c r="M3" s="7">
        <v>45008</v>
      </c>
      <c r="N3" s="7">
        <v>48660</v>
      </c>
      <c r="O3" t="s">
        <v>117</v>
      </c>
      <c r="P3" s="7">
        <v>46224</v>
      </c>
      <c r="Q3" s="7">
        <v>46405</v>
      </c>
      <c r="S3" t="s">
        <v>116</v>
      </c>
      <c r="T3" t="s">
        <v>84</v>
      </c>
      <c r="U3" t="s">
        <v>86</v>
      </c>
      <c r="V3" t="s">
        <v>87</v>
      </c>
      <c r="W3" s="30">
        <v>8801959216007</v>
      </c>
      <c r="X3">
        <f t="shared" ref="X3:X16" si="0">G3</f>
        <v>20260037868</v>
      </c>
      <c r="Y3" t="str">
        <f t="shared" ref="Y3:Y16" si="1">B3</f>
        <v>RAYHAN KHAN</v>
      </c>
      <c r="Z3" s="22">
        <f t="shared" ref="Z3:Z16" si="2">K3</f>
        <v>37188</v>
      </c>
      <c r="AA3" t="s">
        <v>91</v>
      </c>
      <c r="AB3" s="43">
        <v>8262684908</v>
      </c>
      <c r="AC3" t="str">
        <f t="shared" ref="AC3:AC16" si="3">Y3</f>
        <v>RAYHAN KHAN</v>
      </c>
      <c r="AD3" t="str">
        <f t="shared" ref="AD3:AD16" si="4">C3</f>
        <v>A07322494</v>
      </c>
      <c r="AE3" t="s">
        <v>111</v>
      </c>
      <c r="AF3" t="s">
        <v>111</v>
      </c>
      <c r="AG3" s="13" t="s">
        <v>93</v>
      </c>
      <c r="AH3" s="13" t="s">
        <v>93</v>
      </c>
      <c r="AI3" s="13" t="s">
        <v>93</v>
      </c>
      <c r="AJ3" s="12" t="s">
        <v>92</v>
      </c>
      <c r="AK3" t="s">
        <v>102</v>
      </c>
      <c r="AL3" t="s">
        <v>89</v>
      </c>
      <c r="AM3" s="30">
        <v>8801959215977</v>
      </c>
      <c r="AN3" s="12" t="s">
        <v>104</v>
      </c>
    </row>
    <row r="4" spans="1:40" ht="16.5" thickBot="1" x14ac:dyDescent="0.3">
      <c r="A4" s="2">
        <v>3</v>
      </c>
      <c r="B4" s="13" t="s">
        <v>14</v>
      </c>
      <c r="C4" s="25" t="s">
        <v>15</v>
      </c>
      <c r="D4" s="7">
        <v>44600</v>
      </c>
      <c r="E4" s="13" t="s">
        <v>36</v>
      </c>
      <c r="F4" s="24" t="s">
        <v>37</v>
      </c>
      <c r="G4" s="21">
        <v>20260037869</v>
      </c>
      <c r="H4" s="2">
        <v>6010539</v>
      </c>
      <c r="I4" s="7">
        <v>46268</v>
      </c>
      <c r="J4" s="5">
        <v>0.29862268518518498</v>
      </c>
      <c r="K4" s="7">
        <v>36121</v>
      </c>
      <c r="L4" t="s">
        <v>80</v>
      </c>
      <c r="M4" s="7">
        <v>44600</v>
      </c>
      <c r="N4" s="7">
        <v>48251</v>
      </c>
      <c r="O4" t="s">
        <v>118</v>
      </c>
      <c r="P4" s="7">
        <v>46224</v>
      </c>
      <c r="Q4" s="7">
        <v>46405</v>
      </c>
      <c r="S4" t="s">
        <v>116</v>
      </c>
      <c r="T4" t="s">
        <v>84</v>
      </c>
      <c r="U4" t="s">
        <v>86</v>
      </c>
      <c r="V4" t="s">
        <v>87</v>
      </c>
      <c r="W4" s="30">
        <v>8801959216007</v>
      </c>
      <c r="X4">
        <f t="shared" si="0"/>
        <v>20260037869</v>
      </c>
      <c r="Y4" t="str">
        <f t="shared" si="1"/>
        <v>MD NAJIM UDDIN</v>
      </c>
      <c r="Z4" s="22">
        <f t="shared" si="2"/>
        <v>36121</v>
      </c>
      <c r="AA4" t="s">
        <v>91</v>
      </c>
      <c r="AB4" s="43">
        <v>4215410293</v>
      </c>
      <c r="AC4" t="str">
        <f t="shared" si="3"/>
        <v>MD NAJIM UDDIN</v>
      </c>
      <c r="AD4" t="str">
        <f t="shared" si="4"/>
        <v>A03131255</v>
      </c>
      <c r="AE4" t="s">
        <v>112</v>
      </c>
      <c r="AF4" t="s">
        <v>112</v>
      </c>
      <c r="AG4" s="13" t="s">
        <v>94</v>
      </c>
      <c r="AH4" s="13" t="s">
        <v>94</v>
      </c>
      <c r="AI4" s="13" t="s">
        <v>94</v>
      </c>
      <c r="AJ4" t="s">
        <v>98</v>
      </c>
      <c r="AK4" t="s">
        <v>103</v>
      </c>
      <c r="AL4" t="s">
        <v>89</v>
      </c>
      <c r="AM4" s="30">
        <v>8801959215982</v>
      </c>
      <c r="AN4" s="13" t="s">
        <v>105</v>
      </c>
    </row>
    <row r="5" spans="1:40" ht="16.5" thickBot="1" x14ac:dyDescent="0.3">
      <c r="A5">
        <v>4</v>
      </c>
      <c r="B5" s="13" t="s">
        <v>16</v>
      </c>
      <c r="C5" s="25" t="s">
        <v>17</v>
      </c>
      <c r="D5" s="7">
        <v>45606</v>
      </c>
      <c r="E5" s="13" t="s">
        <v>38</v>
      </c>
      <c r="F5" s="24" t="s">
        <v>39</v>
      </c>
      <c r="G5" s="21">
        <v>20260037870</v>
      </c>
      <c r="H5" s="2">
        <v>6010542</v>
      </c>
      <c r="I5" s="7">
        <v>46268</v>
      </c>
      <c r="J5" s="5">
        <v>0.340289351851852</v>
      </c>
      <c r="K5" s="7">
        <v>36382</v>
      </c>
      <c r="L5" t="s">
        <v>82</v>
      </c>
      <c r="M5" s="7">
        <v>45606</v>
      </c>
      <c r="N5" s="7">
        <v>49257</v>
      </c>
      <c r="O5" t="s">
        <v>119</v>
      </c>
      <c r="P5" s="7">
        <v>46224</v>
      </c>
      <c r="Q5" s="7">
        <v>46405</v>
      </c>
      <c r="S5" t="s">
        <v>116</v>
      </c>
      <c r="T5" t="s">
        <v>84</v>
      </c>
      <c r="U5" t="s">
        <v>86</v>
      </c>
      <c r="V5" t="s">
        <v>87</v>
      </c>
      <c r="W5" s="30">
        <v>8801959216007</v>
      </c>
      <c r="X5">
        <f t="shared" si="0"/>
        <v>20260037870</v>
      </c>
      <c r="Y5" t="str">
        <f t="shared" si="1"/>
        <v>RAKIBUL HASAN</v>
      </c>
      <c r="Z5" s="22">
        <f t="shared" si="2"/>
        <v>36382</v>
      </c>
      <c r="AA5" t="s">
        <v>91</v>
      </c>
      <c r="AB5" s="43">
        <v>4657003283</v>
      </c>
      <c r="AC5" t="str">
        <f t="shared" si="3"/>
        <v>RAKIBUL HASAN</v>
      </c>
      <c r="AD5" t="str">
        <f t="shared" si="4"/>
        <v>A16817519</v>
      </c>
      <c r="AE5" t="s">
        <v>113</v>
      </c>
      <c r="AF5" t="s">
        <v>113</v>
      </c>
      <c r="AG5" s="13" t="s">
        <v>99</v>
      </c>
      <c r="AH5" s="13" t="s">
        <v>99</v>
      </c>
      <c r="AI5" s="13" t="s">
        <v>99</v>
      </c>
      <c r="AJ5" s="12" t="s">
        <v>92</v>
      </c>
      <c r="AK5" t="s">
        <v>88</v>
      </c>
      <c r="AL5" t="s">
        <v>89</v>
      </c>
      <c r="AM5" s="30">
        <v>8801959215987</v>
      </c>
      <c r="AN5" s="13" t="s">
        <v>106</v>
      </c>
    </row>
    <row r="6" spans="1:40" ht="16.5" thickBot="1" x14ac:dyDescent="0.3">
      <c r="A6" s="2">
        <v>5</v>
      </c>
      <c r="B6" s="13" t="s">
        <v>18</v>
      </c>
      <c r="C6" s="25" t="s">
        <v>19</v>
      </c>
      <c r="D6" s="7">
        <v>44636</v>
      </c>
      <c r="E6" s="13" t="s">
        <v>40</v>
      </c>
      <c r="F6" s="24" t="s">
        <v>41</v>
      </c>
      <c r="G6" s="21">
        <v>20260037871</v>
      </c>
      <c r="H6" s="2">
        <v>6010545</v>
      </c>
      <c r="I6" s="7">
        <v>46268</v>
      </c>
      <c r="J6" s="5">
        <v>0.38195601851851901</v>
      </c>
      <c r="K6" s="7">
        <v>36741</v>
      </c>
      <c r="L6" t="s">
        <v>83</v>
      </c>
      <c r="M6" s="7">
        <v>44636</v>
      </c>
      <c r="N6" s="7">
        <v>48288</v>
      </c>
      <c r="O6" t="s">
        <v>120</v>
      </c>
      <c r="P6" s="7">
        <v>46224</v>
      </c>
      <c r="Q6" s="7">
        <v>46405</v>
      </c>
      <c r="S6" t="s">
        <v>116</v>
      </c>
      <c r="T6" t="s">
        <v>84</v>
      </c>
      <c r="U6" t="s">
        <v>86</v>
      </c>
      <c r="V6" t="s">
        <v>87</v>
      </c>
      <c r="W6" s="30">
        <v>8801959216007</v>
      </c>
      <c r="X6">
        <f t="shared" si="0"/>
        <v>20260037871</v>
      </c>
      <c r="Y6" t="str">
        <f t="shared" si="1"/>
        <v>SUMON AHMED</v>
      </c>
      <c r="Z6" s="22">
        <f t="shared" si="2"/>
        <v>36741</v>
      </c>
      <c r="AA6" t="s">
        <v>91</v>
      </c>
      <c r="AB6" s="43">
        <v>5565587135</v>
      </c>
      <c r="AC6" t="str">
        <f t="shared" si="3"/>
        <v>SUMON AHMED</v>
      </c>
      <c r="AD6" t="str">
        <f t="shared" si="4"/>
        <v>A03349685</v>
      </c>
      <c r="AE6" t="s">
        <v>110</v>
      </c>
      <c r="AF6" t="s">
        <v>110</v>
      </c>
      <c r="AG6" s="12" t="s">
        <v>114</v>
      </c>
      <c r="AH6" s="13" t="s">
        <v>92</v>
      </c>
      <c r="AI6" s="13" t="s">
        <v>92</v>
      </c>
      <c r="AJ6" s="13" t="s">
        <v>92</v>
      </c>
      <c r="AK6" t="s">
        <v>102</v>
      </c>
      <c r="AL6" t="s">
        <v>89</v>
      </c>
      <c r="AM6" s="30">
        <v>8801959215992</v>
      </c>
      <c r="AN6" s="12" t="s">
        <v>104</v>
      </c>
    </row>
    <row r="7" spans="1:40" ht="16.5" thickBot="1" x14ac:dyDescent="0.3">
      <c r="A7">
        <v>6</v>
      </c>
      <c r="B7" s="13" t="s">
        <v>20</v>
      </c>
      <c r="C7" s="25" t="s">
        <v>21</v>
      </c>
      <c r="D7" s="7">
        <v>45077</v>
      </c>
      <c r="E7" s="13" t="s">
        <v>42</v>
      </c>
      <c r="F7" s="24" t="s">
        <v>43</v>
      </c>
      <c r="G7" s="21">
        <v>20260037872</v>
      </c>
      <c r="H7" s="2">
        <v>6010548</v>
      </c>
      <c r="I7" s="7">
        <v>46268</v>
      </c>
      <c r="J7" s="5">
        <v>0.42362268518518498</v>
      </c>
      <c r="K7" s="7">
        <v>34720</v>
      </c>
      <c r="L7" t="s">
        <v>80</v>
      </c>
      <c r="M7" s="7">
        <v>45077</v>
      </c>
      <c r="N7" s="7">
        <v>48729</v>
      </c>
      <c r="O7" t="s">
        <v>121</v>
      </c>
      <c r="P7" s="7">
        <v>46224</v>
      </c>
      <c r="Q7" s="7">
        <v>46405</v>
      </c>
      <c r="S7" t="s">
        <v>116</v>
      </c>
      <c r="T7" t="s">
        <v>84</v>
      </c>
      <c r="U7" t="s">
        <v>86</v>
      </c>
      <c r="V7" t="s">
        <v>87</v>
      </c>
      <c r="W7" s="30">
        <v>8801959216007</v>
      </c>
      <c r="X7">
        <f t="shared" si="0"/>
        <v>20260037872</v>
      </c>
      <c r="Y7" t="str">
        <f t="shared" si="1"/>
        <v>MD SABUJ MIA</v>
      </c>
      <c r="Z7" s="22">
        <f t="shared" si="2"/>
        <v>34720</v>
      </c>
      <c r="AA7" t="s">
        <v>91</v>
      </c>
      <c r="AB7" s="43">
        <v>8252017143</v>
      </c>
      <c r="AC7" t="str">
        <f t="shared" si="3"/>
        <v>MD SABUJ MIA</v>
      </c>
      <c r="AD7" t="str">
        <f t="shared" si="4"/>
        <v>A08140828</v>
      </c>
      <c r="AE7" t="s">
        <v>111</v>
      </c>
      <c r="AF7" t="s">
        <v>111</v>
      </c>
      <c r="AG7" s="13" t="s">
        <v>95</v>
      </c>
      <c r="AH7" s="13" t="s">
        <v>95</v>
      </c>
      <c r="AI7" s="13" t="s">
        <v>95</v>
      </c>
      <c r="AJ7" s="18" t="s">
        <v>100</v>
      </c>
      <c r="AK7" t="s">
        <v>103</v>
      </c>
      <c r="AL7" t="s">
        <v>89</v>
      </c>
      <c r="AM7" s="30">
        <v>8801959215997</v>
      </c>
      <c r="AN7" s="13" t="s">
        <v>105</v>
      </c>
    </row>
    <row r="8" spans="1:40" ht="16.5" thickBot="1" x14ac:dyDescent="0.3">
      <c r="A8" s="2">
        <v>7</v>
      </c>
      <c r="B8" s="17" t="s">
        <v>22</v>
      </c>
      <c r="C8" s="25" t="s">
        <v>23</v>
      </c>
      <c r="D8" s="7">
        <v>45984</v>
      </c>
      <c r="E8" s="26" t="s">
        <v>44</v>
      </c>
      <c r="F8" s="15" t="s">
        <v>45</v>
      </c>
      <c r="G8" s="21">
        <v>20260037873</v>
      </c>
      <c r="H8" s="2">
        <v>6010551</v>
      </c>
      <c r="I8" s="7">
        <v>46268</v>
      </c>
      <c r="J8" s="5">
        <v>0.465289351851852</v>
      </c>
      <c r="K8" s="7">
        <v>36629</v>
      </c>
      <c r="L8" t="s">
        <v>80</v>
      </c>
      <c r="M8" s="7">
        <v>45984</v>
      </c>
      <c r="N8" s="7">
        <v>49635</v>
      </c>
      <c r="O8" t="s">
        <v>122</v>
      </c>
      <c r="P8" s="7">
        <v>46239</v>
      </c>
      <c r="Q8" s="7">
        <v>46424</v>
      </c>
      <c r="S8" t="s">
        <v>115</v>
      </c>
      <c r="T8" t="s">
        <v>84</v>
      </c>
      <c r="U8" t="s">
        <v>86</v>
      </c>
      <c r="V8" t="s">
        <v>87</v>
      </c>
      <c r="W8" s="30">
        <v>8801959216007</v>
      </c>
      <c r="X8">
        <f t="shared" si="0"/>
        <v>20260037873</v>
      </c>
      <c r="Y8" t="str">
        <f t="shared" si="1"/>
        <v>RASHEL AHMED</v>
      </c>
      <c r="Z8" s="22">
        <f t="shared" si="2"/>
        <v>36629</v>
      </c>
      <c r="AA8" t="s">
        <v>91</v>
      </c>
      <c r="AB8" s="43">
        <v>3315246417</v>
      </c>
      <c r="AC8" t="str">
        <f t="shared" si="3"/>
        <v>RASHEL AHMED</v>
      </c>
      <c r="AD8" t="str">
        <f t="shared" si="4"/>
        <v>A20941515</v>
      </c>
      <c r="AE8" t="s">
        <v>112</v>
      </c>
      <c r="AF8" t="s">
        <v>112</v>
      </c>
      <c r="AG8" s="12" t="s">
        <v>114</v>
      </c>
      <c r="AH8" s="14" t="s">
        <v>92</v>
      </c>
      <c r="AI8" s="14" t="s">
        <v>92</v>
      </c>
      <c r="AJ8" s="14" t="s">
        <v>92</v>
      </c>
      <c r="AK8" t="s">
        <v>88</v>
      </c>
      <c r="AL8" t="s">
        <v>89</v>
      </c>
      <c r="AM8" s="30">
        <v>8801959216002</v>
      </c>
      <c r="AN8" s="13" t="s">
        <v>106</v>
      </c>
    </row>
    <row r="9" spans="1:40" ht="16.5" thickBot="1" x14ac:dyDescent="0.3">
      <c r="A9">
        <v>8</v>
      </c>
      <c r="B9" s="17" t="s">
        <v>24</v>
      </c>
      <c r="C9" s="25" t="s">
        <v>25</v>
      </c>
      <c r="D9" s="7">
        <v>45200</v>
      </c>
      <c r="E9" s="15" t="s">
        <v>46</v>
      </c>
      <c r="F9" s="15" t="s">
        <v>47</v>
      </c>
      <c r="G9" s="21">
        <v>20260037874</v>
      </c>
      <c r="H9" s="2">
        <v>6010554</v>
      </c>
      <c r="I9" s="7">
        <v>46268</v>
      </c>
      <c r="J9" s="5">
        <v>0.50695601851851901</v>
      </c>
      <c r="K9" s="7">
        <v>38420</v>
      </c>
      <c r="L9" t="s">
        <v>80</v>
      </c>
      <c r="M9" s="7">
        <v>45200</v>
      </c>
      <c r="N9" s="7">
        <v>48852</v>
      </c>
      <c r="O9" t="s">
        <v>123</v>
      </c>
      <c r="P9" s="7">
        <v>46239</v>
      </c>
      <c r="Q9" s="7">
        <v>46424</v>
      </c>
      <c r="S9" t="s">
        <v>115</v>
      </c>
      <c r="T9" t="s">
        <v>84</v>
      </c>
      <c r="U9" t="s">
        <v>86</v>
      </c>
      <c r="V9" t="s">
        <v>87</v>
      </c>
      <c r="W9" s="30">
        <v>8801959216007</v>
      </c>
      <c r="X9">
        <f t="shared" si="0"/>
        <v>20260037874</v>
      </c>
      <c r="Y9" t="str">
        <f t="shared" si="1"/>
        <v>MD SAKIBUL HASAN MILTON</v>
      </c>
      <c r="Z9" s="22">
        <f t="shared" si="2"/>
        <v>38420</v>
      </c>
      <c r="AA9" t="s">
        <v>91</v>
      </c>
      <c r="AB9" s="43">
        <v>3768710950</v>
      </c>
      <c r="AC9" t="str">
        <f t="shared" si="3"/>
        <v>MD SAKIBUL HASAN MILTON</v>
      </c>
      <c r="AD9" t="str">
        <f t="shared" si="4"/>
        <v>A12054906</v>
      </c>
      <c r="AE9" t="s">
        <v>110</v>
      </c>
      <c r="AF9" t="s">
        <v>110</v>
      </c>
      <c r="AG9" s="15" t="s">
        <v>96</v>
      </c>
      <c r="AH9" s="15" t="s">
        <v>96</v>
      </c>
      <c r="AI9" s="15" t="s">
        <v>96</v>
      </c>
      <c r="AJ9" s="18" t="s">
        <v>101</v>
      </c>
      <c r="AK9" t="s">
        <v>102</v>
      </c>
      <c r="AL9" t="s">
        <v>89</v>
      </c>
      <c r="AM9" s="30">
        <v>8801959216007</v>
      </c>
      <c r="AN9" s="13" t="s">
        <v>107</v>
      </c>
    </row>
    <row r="10" spans="1:40" ht="16.5" thickBot="1" x14ac:dyDescent="0.3">
      <c r="A10" s="2">
        <v>9</v>
      </c>
      <c r="B10" s="17" t="s">
        <v>26</v>
      </c>
      <c r="C10" s="25" t="s">
        <v>27</v>
      </c>
      <c r="D10" s="7">
        <v>45834</v>
      </c>
      <c r="E10" s="27" t="s">
        <v>48</v>
      </c>
      <c r="F10" s="28" t="s">
        <v>49</v>
      </c>
      <c r="G10" s="21">
        <v>20260037875</v>
      </c>
      <c r="H10" s="2">
        <v>6010557</v>
      </c>
      <c r="I10" s="7">
        <v>46268</v>
      </c>
      <c r="J10" s="5">
        <v>0.54862268518518498</v>
      </c>
      <c r="K10" s="7">
        <v>38158</v>
      </c>
      <c r="L10" t="s">
        <v>82</v>
      </c>
      <c r="M10" s="7">
        <v>45834</v>
      </c>
      <c r="N10" s="7">
        <v>49485</v>
      </c>
      <c r="O10" t="s">
        <v>125</v>
      </c>
      <c r="P10" s="7">
        <v>46239</v>
      </c>
      <c r="Q10" s="7">
        <v>46424</v>
      </c>
      <c r="S10" t="s">
        <v>115</v>
      </c>
      <c r="T10" t="s">
        <v>84</v>
      </c>
      <c r="U10" t="s">
        <v>86</v>
      </c>
      <c r="V10" t="s">
        <v>87</v>
      </c>
      <c r="W10" s="30">
        <v>8801959216007</v>
      </c>
      <c r="X10">
        <f t="shared" si="0"/>
        <v>20260037875</v>
      </c>
      <c r="Y10" t="str">
        <f t="shared" si="1"/>
        <v>WALID MAHMUD</v>
      </c>
      <c r="Z10" s="22">
        <f t="shared" si="2"/>
        <v>38158</v>
      </c>
      <c r="AA10" t="s">
        <v>91</v>
      </c>
      <c r="AB10" s="43">
        <v>1980657587</v>
      </c>
      <c r="AC10" t="str">
        <f t="shared" si="3"/>
        <v>WALID MAHMUD</v>
      </c>
      <c r="AD10" t="str">
        <f t="shared" si="4"/>
        <v>A09369386</v>
      </c>
      <c r="AE10" t="s">
        <v>111</v>
      </c>
      <c r="AF10" t="s">
        <v>111</v>
      </c>
      <c r="AG10" s="16" t="s">
        <v>96</v>
      </c>
      <c r="AH10" s="16" t="s">
        <v>96</v>
      </c>
      <c r="AI10" s="16" t="s">
        <v>96</v>
      </c>
      <c r="AJ10" s="18" t="s">
        <v>101</v>
      </c>
      <c r="AK10" t="s">
        <v>103</v>
      </c>
      <c r="AL10" t="s">
        <v>89</v>
      </c>
      <c r="AM10" s="30">
        <v>8801959216012</v>
      </c>
      <c r="AN10" s="14" t="s">
        <v>108</v>
      </c>
    </row>
    <row r="11" spans="1:40" ht="16.5" thickBot="1" x14ac:dyDescent="0.3">
      <c r="A11">
        <v>10</v>
      </c>
      <c r="B11" s="17" t="s">
        <v>28</v>
      </c>
      <c r="C11" s="25" t="s">
        <v>29</v>
      </c>
      <c r="D11" s="7">
        <v>46042</v>
      </c>
      <c r="E11" s="17" t="s">
        <v>50</v>
      </c>
      <c r="F11" s="16" t="s">
        <v>51</v>
      </c>
      <c r="G11" s="21">
        <v>20260037876</v>
      </c>
      <c r="H11" s="2">
        <v>6010560</v>
      </c>
      <c r="I11" s="7">
        <v>46268</v>
      </c>
      <c r="J11" s="5">
        <v>0.59028935185185205</v>
      </c>
      <c r="K11" s="7">
        <v>35860</v>
      </c>
      <c r="L11" t="s">
        <v>83</v>
      </c>
      <c r="M11" s="7">
        <v>46042</v>
      </c>
      <c r="N11" s="7">
        <v>49693</v>
      </c>
      <c r="O11" t="s">
        <v>126</v>
      </c>
      <c r="P11" s="7">
        <v>46239</v>
      </c>
      <c r="Q11" s="7">
        <v>46424</v>
      </c>
      <c r="S11" t="s">
        <v>115</v>
      </c>
      <c r="T11" t="s">
        <v>84</v>
      </c>
      <c r="U11" t="s">
        <v>86</v>
      </c>
      <c r="V11" t="s">
        <v>87</v>
      </c>
      <c r="W11" s="30">
        <v>8801959216007</v>
      </c>
      <c r="X11">
        <f t="shared" si="0"/>
        <v>20260037876</v>
      </c>
      <c r="Y11" t="str">
        <f t="shared" si="1"/>
        <v>MD SAIFUL ISLAM</v>
      </c>
      <c r="Z11" s="22">
        <f t="shared" si="2"/>
        <v>35860</v>
      </c>
      <c r="AA11" t="s">
        <v>91</v>
      </c>
      <c r="AB11" s="43">
        <v>7355059176</v>
      </c>
      <c r="AC11" t="str">
        <f t="shared" si="3"/>
        <v>MD SAIFUL ISLAM</v>
      </c>
      <c r="AD11" t="str">
        <f t="shared" si="4"/>
        <v>A09804378</v>
      </c>
      <c r="AE11" t="s">
        <v>112</v>
      </c>
      <c r="AF11" t="s">
        <v>112</v>
      </c>
      <c r="AG11" s="17" t="s">
        <v>97</v>
      </c>
      <c r="AH11" s="17" t="s">
        <v>97</v>
      </c>
      <c r="AI11" s="17" t="s">
        <v>97</v>
      </c>
      <c r="AJ11" s="17" t="s">
        <v>97</v>
      </c>
      <c r="AK11" t="s">
        <v>88</v>
      </c>
      <c r="AL11" t="s">
        <v>89</v>
      </c>
      <c r="AM11" s="30">
        <v>8801959216017</v>
      </c>
      <c r="AN11" s="15" t="s">
        <v>109</v>
      </c>
    </row>
    <row r="12" spans="1:40" ht="16.5" thickBot="1" x14ac:dyDescent="0.3">
      <c r="A12">
        <v>11</v>
      </c>
      <c r="B12" s="9" t="s">
        <v>30</v>
      </c>
      <c r="C12" s="10" t="s">
        <v>31</v>
      </c>
      <c r="D12" s="7">
        <v>45947</v>
      </c>
      <c r="E12" s="26" t="s">
        <v>52</v>
      </c>
      <c r="F12" s="15" t="s">
        <v>53</v>
      </c>
      <c r="G12" s="21">
        <v>20260037877</v>
      </c>
      <c r="H12" s="2">
        <v>6010563</v>
      </c>
      <c r="I12" s="7">
        <v>46268</v>
      </c>
      <c r="J12" s="5">
        <v>0.63195601851851901</v>
      </c>
      <c r="K12" s="7">
        <v>39248</v>
      </c>
      <c r="L12" t="s">
        <v>80</v>
      </c>
      <c r="M12" s="7">
        <v>45947</v>
      </c>
      <c r="N12" s="7">
        <v>49598</v>
      </c>
      <c r="O12" t="s">
        <v>124</v>
      </c>
      <c r="P12" s="7">
        <v>46239</v>
      </c>
      <c r="Q12" s="7">
        <v>46424</v>
      </c>
      <c r="S12" t="s">
        <v>115</v>
      </c>
      <c r="T12" t="s">
        <v>84</v>
      </c>
      <c r="U12" t="s">
        <v>86</v>
      </c>
      <c r="V12" t="s">
        <v>87</v>
      </c>
      <c r="W12" s="30">
        <v>8801959216007</v>
      </c>
      <c r="X12">
        <f t="shared" si="0"/>
        <v>20260037877</v>
      </c>
      <c r="Y12" t="str">
        <f t="shared" si="1"/>
        <v>MD RAKIB HASSAN</v>
      </c>
      <c r="Z12" s="22">
        <f t="shared" si="2"/>
        <v>39248</v>
      </c>
      <c r="AA12" t="s">
        <v>91</v>
      </c>
      <c r="AB12" s="43">
        <v>3782267995</v>
      </c>
      <c r="AC12" t="str">
        <f t="shared" si="3"/>
        <v>MD RAKIB HASSAN</v>
      </c>
      <c r="AD12" t="str">
        <f t="shared" si="4"/>
        <v>A20555997</v>
      </c>
      <c r="AE12" t="s">
        <v>113</v>
      </c>
      <c r="AF12" t="s">
        <v>113</v>
      </c>
      <c r="AG12" s="12" t="s">
        <v>114</v>
      </c>
      <c r="AH12" s="14" t="s">
        <v>92</v>
      </c>
      <c r="AI12" s="14" t="s">
        <v>92</v>
      </c>
      <c r="AJ12" s="14" t="s">
        <v>92</v>
      </c>
      <c r="AK12" t="s">
        <v>102</v>
      </c>
      <c r="AL12" t="s">
        <v>89</v>
      </c>
      <c r="AM12" s="30">
        <v>8801959216022</v>
      </c>
      <c r="AN12" s="23" t="s">
        <v>90</v>
      </c>
    </row>
    <row r="13" spans="1:40" ht="16.5" thickBot="1" x14ac:dyDescent="0.3">
      <c r="A13">
        <v>12</v>
      </c>
      <c r="B13" s="31" t="s">
        <v>128</v>
      </c>
      <c r="C13" s="32" t="s">
        <v>129</v>
      </c>
      <c r="D13" s="7">
        <v>45064</v>
      </c>
      <c r="E13" s="31" t="s">
        <v>135</v>
      </c>
      <c r="F13" s="35" t="s">
        <v>136</v>
      </c>
      <c r="G13" s="21">
        <v>20260037878</v>
      </c>
      <c r="H13" s="2">
        <v>6010566</v>
      </c>
      <c r="I13" s="7">
        <v>46268</v>
      </c>
      <c r="J13" s="5">
        <v>0.67362268518518298</v>
      </c>
      <c r="K13" s="7">
        <v>37300</v>
      </c>
      <c r="L13" t="s">
        <v>80</v>
      </c>
      <c r="M13" s="22">
        <f>D13</f>
        <v>45064</v>
      </c>
      <c r="N13" s="7">
        <v>48716</v>
      </c>
      <c r="O13" t="s">
        <v>163</v>
      </c>
      <c r="P13" s="7">
        <v>46224</v>
      </c>
      <c r="Q13" s="7">
        <v>46406</v>
      </c>
      <c r="S13" t="s">
        <v>116</v>
      </c>
      <c r="T13" t="s">
        <v>84</v>
      </c>
      <c r="U13" t="s">
        <v>86</v>
      </c>
      <c r="V13" t="s">
        <v>87</v>
      </c>
      <c r="W13" s="30">
        <v>8801959216007</v>
      </c>
      <c r="X13">
        <f t="shared" si="0"/>
        <v>20260037878</v>
      </c>
      <c r="Y13" t="str">
        <f t="shared" si="1"/>
        <v>MD IBRAHIM MOLLAH</v>
      </c>
      <c r="Z13" s="22">
        <f t="shared" si="2"/>
        <v>37300</v>
      </c>
      <c r="AA13" t="s">
        <v>91</v>
      </c>
      <c r="AC13" t="str">
        <f t="shared" si="3"/>
        <v>MD IBRAHIM MOLLAH</v>
      </c>
      <c r="AD13" t="str">
        <f t="shared" si="4"/>
        <v>A07523685</v>
      </c>
      <c r="AE13" t="s">
        <v>159</v>
      </c>
      <c r="AF13" t="s">
        <v>154</v>
      </c>
      <c r="AG13" s="12" t="s">
        <v>153</v>
      </c>
      <c r="AH13" s="14" t="s">
        <v>92</v>
      </c>
      <c r="AI13" s="14" t="s">
        <v>92</v>
      </c>
      <c r="AJ13" s="14" t="s">
        <v>92</v>
      </c>
      <c r="AK13" t="s">
        <v>147</v>
      </c>
      <c r="AL13" t="s">
        <v>89</v>
      </c>
      <c r="AM13" s="30">
        <v>8801959216027</v>
      </c>
      <c r="AN13" s="37" t="s">
        <v>143</v>
      </c>
    </row>
    <row r="14" spans="1:40" ht="16.5" thickBot="1" x14ac:dyDescent="0.3">
      <c r="A14" s="2">
        <v>13</v>
      </c>
      <c r="B14" s="33" t="s">
        <v>130</v>
      </c>
      <c r="C14" s="34" t="s">
        <v>131</v>
      </c>
      <c r="D14" s="7">
        <v>45605</v>
      </c>
      <c r="E14" s="33" t="s">
        <v>137</v>
      </c>
      <c r="F14" s="36" t="s">
        <v>138</v>
      </c>
      <c r="G14" s="21">
        <v>20260037879</v>
      </c>
      <c r="H14" s="2">
        <v>6010569</v>
      </c>
      <c r="I14" s="7">
        <v>46268</v>
      </c>
      <c r="J14" s="5">
        <v>0.71528935185184905</v>
      </c>
      <c r="K14" s="7">
        <v>39334</v>
      </c>
      <c r="L14" t="s">
        <v>82</v>
      </c>
      <c r="M14" s="22">
        <f t="shared" ref="M14:M16" si="5">D14</f>
        <v>45605</v>
      </c>
      <c r="N14" s="7">
        <v>47430</v>
      </c>
      <c r="O14" t="s">
        <v>164</v>
      </c>
      <c r="P14" s="7">
        <v>46224</v>
      </c>
      <c r="Q14" s="7">
        <v>46405</v>
      </c>
      <c r="S14" t="s">
        <v>116</v>
      </c>
      <c r="T14" t="s">
        <v>84</v>
      </c>
      <c r="U14" t="s">
        <v>86</v>
      </c>
      <c r="V14" t="s">
        <v>87</v>
      </c>
      <c r="W14" s="30">
        <v>8801959216007</v>
      </c>
      <c r="X14">
        <f t="shared" si="0"/>
        <v>20260037879</v>
      </c>
      <c r="Y14" t="str">
        <f t="shared" si="1"/>
        <v>MD NAIM ISLAM</v>
      </c>
      <c r="Z14" s="22">
        <f t="shared" si="2"/>
        <v>39334</v>
      </c>
      <c r="AA14" t="s">
        <v>91</v>
      </c>
      <c r="AC14" t="str">
        <f t="shared" si="3"/>
        <v>MD NAIM ISLAM</v>
      </c>
      <c r="AD14" t="str">
        <f t="shared" si="4"/>
        <v>A16812261</v>
      </c>
      <c r="AE14" t="s">
        <v>160</v>
      </c>
      <c r="AF14" t="s">
        <v>155</v>
      </c>
      <c r="AG14" s="12" t="s">
        <v>152</v>
      </c>
      <c r="AH14" s="14" t="s">
        <v>92</v>
      </c>
      <c r="AI14" s="14" t="s">
        <v>92</v>
      </c>
      <c r="AJ14" s="14" t="s">
        <v>92</v>
      </c>
      <c r="AK14" t="s">
        <v>148</v>
      </c>
      <c r="AL14" t="s">
        <v>89</v>
      </c>
      <c r="AM14" s="30">
        <v>8801959216032</v>
      </c>
      <c r="AN14" s="38" t="s">
        <v>144</v>
      </c>
    </row>
    <row r="15" spans="1:40" ht="16.5" thickBot="1" x14ac:dyDescent="0.3">
      <c r="A15">
        <v>14</v>
      </c>
      <c r="B15" s="33" t="s">
        <v>132</v>
      </c>
      <c r="C15" s="34" t="s">
        <v>127</v>
      </c>
      <c r="D15" s="7">
        <v>45531</v>
      </c>
      <c r="E15" s="33" t="s">
        <v>139</v>
      </c>
      <c r="F15" s="36" t="s">
        <v>140</v>
      </c>
      <c r="G15" s="21">
        <v>20260037880</v>
      </c>
      <c r="H15" s="2">
        <v>6010572</v>
      </c>
      <c r="I15" s="7">
        <v>46268</v>
      </c>
      <c r="J15" s="5">
        <v>0.75695601851851502</v>
      </c>
      <c r="K15" s="7">
        <v>37761</v>
      </c>
      <c r="L15" t="s">
        <v>83</v>
      </c>
      <c r="M15" s="22">
        <f t="shared" si="5"/>
        <v>45531</v>
      </c>
      <c r="N15" s="7">
        <v>49182</v>
      </c>
      <c r="O15" t="s">
        <v>165</v>
      </c>
      <c r="P15" s="7">
        <v>46224</v>
      </c>
      <c r="Q15" s="7">
        <v>46405</v>
      </c>
      <c r="S15" t="s">
        <v>116</v>
      </c>
      <c r="T15" t="s">
        <v>84</v>
      </c>
      <c r="U15" t="s">
        <v>86</v>
      </c>
      <c r="V15" t="s">
        <v>87</v>
      </c>
      <c r="W15" s="30">
        <v>8801959216007</v>
      </c>
      <c r="X15">
        <f t="shared" si="0"/>
        <v>20260037880</v>
      </c>
      <c r="Y15" t="str">
        <f t="shared" si="1"/>
        <v>SHAKIL MAHMUD</v>
      </c>
      <c r="Z15" s="22">
        <f t="shared" si="2"/>
        <v>37761</v>
      </c>
      <c r="AA15" t="s">
        <v>91</v>
      </c>
      <c r="AC15" t="str">
        <f t="shared" si="3"/>
        <v>SHAKIL MAHMUD</v>
      </c>
      <c r="AD15" t="str">
        <f t="shared" si="4"/>
        <v>A15392052</v>
      </c>
      <c r="AE15" t="s">
        <v>161</v>
      </c>
      <c r="AF15" t="s">
        <v>156</v>
      </c>
      <c r="AG15" s="41" t="s">
        <v>158</v>
      </c>
      <c r="AH15" s="40" t="s">
        <v>158</v>
      </c>
      <c r="AI15" s="40" t="s">
        <v>157</v>
      </c>
      <c r="AJ15" s="39" t="s">
        <v>157</v>
      </c>
      <c r="AK15" t="s">
        <v>149</v>
      </c>
      <c r="AL15" t="s">
        <v>89</v>
      </c>
      <c r="AM15" s="30">
        <v>8801959216037</v>
      </c>
      <c r="AN15" s="38" t="s">
        <v>145</v>
      </c>
    </row>
    <row r="16" spans="1:40" ht="16.5" thickBot="1" x14ac:dyDescent="0.3">
      <c r="A16">
        <v>15</v>
      </c>
      <c r="B16" s="33" t="s">
        <v>133</v>
      </c>
      <c r="C16" s="34" t="s">
        <v>134</v>
      </c>
      <c r="D16" s="7">
        <v>44847</v>
      </c>
      <c r="E16" s="33" t="s">
        <v>141</v>
      </c>
      <c r="F16" s="36" t="s">
        <v>142</v>
      </c>
      <c r="G16" s="21">
        <v>20260037881</v>
      </c>
      <c r="H16" s="2">
        <v>6010575</v>
      </c>
      <c r="I16" s="7">
        <v>46268</v>
      </c>
      <c r="J16" s="5">
        <v>0.79862268518518098</v>
      </c>
      <c r="K16" s="7">
        <v>28659</v>
      </c>
      <c r="L16" t="s">
        <v>80</v>
      </c>
      <c r="M16" s="22">
        <f t="shared" si="5"/>
        <v>44847</v>
      </c>
      <c r="N16" s="7">
        <v>48499</v>
      </c>
      <c r="O16" t="s">
        <v>166</v>
      </c>
      <c r="P16" s="7">
        <v>46224</v>
      </c>
      <c r="Q16" s="7">
        <v>46405</v>
      </c>
      <c r="S16" t="s">
        <v>116</v>
      </c>
      <c r="T16" t="s">
        <v>84</v>
      </c>
      <c r="U16" t="s">
        <v>86</v>
      </c>
      <c r="V16" t="s">
        <v>87</v>
      </c>
      <c r="W16" s="30">
        <v>8801959216007</v>
      </c>
      <c r="X16">
        <f t="shared" si="0"/>
        <v>20260037881</v>
      </c>
      <c r="Y16" t="str">
        <f t="shared" si="1"/>
        <v>SOHEL AHMED</v>
      </c>
      <c r="Z16" s="22">
        <f t="shared" si="2"/>
        <v>28659</v>
      </c>
      <c r="AA16" t="s">
        <v>91</v>
      </c>
      <c r="AC16" t="str">
        <f t="shared" si="3"/>
        <v>SOHEL AHMED</v>
      </c>
      <c r="AD16" t="str">
        <f t="shared" si="4"/>
        <v>A05210946</v>
      </c>
      <c r="AE16" t="s">
        <v>162</v>
      </c>
      <c r="AF16" t="s">
        <v>151</v>
      </c>
      <c r="AG16" s="12" t="s">
        <v>151</v>
      </c>
      <c r="AH16" s="14" t="s">
        <v>92</v>
      </c>
      <c r="AI16" s="14" t="s">
        <v>92</v>
      </c>
      <c r="AJ16" s="14" t="s">
        <v>92</v>
      </c>
      <c r="AK16" t="s">
        <v>150</v>
      </c>
      <c r="AL16" t="s">
        <v>89</v>
      </c>
      <c r="AM16" s="30">
        <v>8801959216042</v>
      </c>
      <c r="AN16" s="38" t="s">
        <v>146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2026-09-07T07:03:02Z</dcterms:modified>
</cp:coreProperties>
</file>